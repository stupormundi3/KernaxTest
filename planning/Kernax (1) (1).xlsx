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<sst xmlns="http://schemas.openxmlformats.org/spreadsheetml/2006/main" count="47" uniqueCount="47">
  <si>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</si>
  <si>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</si>
  <si>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</si>
  <si>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</si>
  <si>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</si>
  <si>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</si>
  <si>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</si>
  <si>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</si>
  <si>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</si>
  <si>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</si>
  <si>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</si>
  <si>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</si>
  <si>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</si>
  <si>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</si>
  <si>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</si>
  <si>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</si>
  <si>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</si>
  <si>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</si>
  <si>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</si>
  <si>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</si>
  <si>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</si>
  <si>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</si>
  <si>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</si>
  <si>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</si>
  <si>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</si>
  <si>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jup notebook x svm scratch, sub 15nov</t>
  </si>
  <si>
    <t>0,30</t>
  </si>
  <si>
    <t>Maitriser les bases d'une sup method au choix</t>
  </si>
  <si>
    <t>Jup notebook lin regression avant le 28/11</t>
  </si>
  <si>
    <t>Documentation svm x kernels avant le 8/1</t>
  </si>
  <si>
    <t>Réapprofondir les bases du GP bfr 23/12</t>
  </si>
  <si>
    <t>Coder classes GP avant le 24/01</t>
  </si>
  <si>
    <t>Coder 1 exemple simple GP avant le 1er mars</t>
  </si>
  <si>
    <t>Coder 2 exemples complexes avant le 7 mars</t>
  </si>
  <si>
    <t>Tester code GP</t>
  </si>
  <si>
    <t>Préparer plan doc GP avant 10 feb</t>
  </si>
  <si>
    <t>Faire jupnote book pour exemples GP</t>
  </si>
  <si>
    <t>Faire jupnote pour les exemples linreg</t>
  </si>
  <si>
    <t>Merge les différentes pages quarto avant le 20 feb</t>
  </si>
  <si>
    <t>Peaufiner la documentation avant 1er mars</t>
  </si>
  <si>
    <t>Dernier test des exemples avant le 15 mars</t>
  </si>
  <si>
    <t>Préparer présentation finale</t>
  </si>
  <si>
    <t>Etudier la KRR pour last page doc</t>
  </si>
  <si>
    <t>Faire des exemples pertinent pour le GP</t>
  </si>
  <si>
    <t>Approfondir KRR, exemples from rgate etc</t>
  </si>
  <si>
    <t>Peaufinement finaux de la classe KRR</t>
  </si>
  <si>
    <t>Temps passé bump/revision pour les 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</si>
</sst>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8109996318817"/>
        <bgColor indexed="64"/>
      </patternFill>
    </fill>
    <fill>
      <patternFill patternType="solid">
        <fgColor theme="0" tint="-0.14812999963760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1D68B"/>
        <bgColor indexed="64"/>
      </patternFill>
    </fill>
    <fill>
      <patternFill patternType="solid">
        <fgColor rgb="FFD8E293"/>
        <bgColor indexed="64"/>
      </patternFill>
    </fill>
    <fill>
      <patternFill patternType="solid">
        <fgColor rgb="FFFFEF9C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49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  <xf numFmtId="2" fontId="8" fillId="10" borderId="25" xfId="0" applyNumberFormat="1" applyFont="1" applyFill="1" applyBorder="1" applyAlignment="1" applyProtection="1">
      <alignment horizontal="right"/>
      <protection/>
    </xf>
    <xf numFmtId="2" fontId="8" fillId="11" borderId="27" xfId="0" applyNumberFormat="1" applyFont="1" applyFill="1" applyBorder="1" applyAlignment="1" applyProtection="1">
      <alignment horizontal="right"/>
      <protection/>
    </xf>
    <xf numFmtId="2" fontId="8" fillId="12" borderId="27" xfId="0" applyNumberFormat="1" applyFont="1" applyFill="1" applyBorder="1" applyAlignment="1" applyProtection="1">
      <alignment horizontal="right"/>
      <protection/>
    </xf>
    <xf numFmtId="2" fontId="8" fillId="13" borderId="27" xfId="0" applyNumberFormat="1" applyFont="1" applyFill="1" applyBorder="1" applyAlignment="1" applyProtection="1">
      <alignment horizontal="right"/>
      <protection/>
    </xf>
    <xf numFmtId="2" fontId="8" fillId="14" borderId="27" xfId="0" applyNumberFormat="1" applyFont="1" applyFill="1" applyBorder="1" applyAlignment="1" applyProtection="1">
      <alignment horizontal="right"/>
      <protection/>
    </xf>
    <xf numFmtId="2" fontId="8" fillId="15" borderId="27" xfId="0" applyNumberFormat="1" applyFont="1" applyFill="1" applyBorder="1" applyAlignment="1" applyProtection="1">
      <alignment horizontal="right"/>
      <protection/>
    </xf>
    <xf numFmtId="0" fontId="8" fillId="0" borderId="29" xfId="0" applyNumberFormat="1" applyFont="1" applyFill="1" applyBorder="1" applyAlignment="1" applyProtection="1">
      <alignment horizontal="left"/>
      <protection/>
    </xf>
    <xf numFmtId="0" fontId="8" fillId="0" borderId="30" xfId="0" applyNumberFormat="1" applyFont="1" applyFill="1" applyBorder="1" applyAlignment="1" applyProtection="1">
      <alignment horizontal="left"/>
      <protection/>
    </xf>
    <xf numFmtId="2" fontId="8" fillId="10" borderId="30" xfId="0" applyNumberFormat="1" applyFont="1" applyFill="1" applyBorder="1" applyAlignment="1" applyProtection="1">
      <alignment horizontal="right"/>
      <protection/>
    </xf>
    <xf numFmtId="2" fontId="8" fillId="0" borderId="31" xfId="0" applyNumberFormat="1" applyFont="1" applyFill="1" applyBorder="1" applyAlignment="1" applyProtection="1">
      <alignment/>
      <protection/>
    </xf>
    <xf numFmtId="2" fontId="8" fillId="0" borderId="32" xfId="0" applyNumberFormat="1" applyFont="1" applyFill="1" applyBorder="1" applyAlignment="1" applyProtection="1">
      <alignment/>
      <protection/>
    </xf>
    <xf numFmtId="2" fontId="8" fillId="0" borderId="33" xfId="0" applyNumberFormat="1" applyFont="1" applyFill="1" applyBorder="1" applyAlignment="1" applyProtection="1">
      <alignment/>
      <protection/>
    </xf>
    <xf numFmtId="2" fontId="8" fillId="0" borderId="29" xfId="0" applyNumberFormat="1" applyFont="1" applyFill="1" applyBorder="1" applyAlignment="1" applyProtection="1">
      <alignment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166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F44" sqref="F44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8</v>
      </c>
      <c r="E7" s="20">
        <f t="shared" si="0" ref="E7:Z7">SUM(E11:E36)</f>
        <v>4</v>
      </c>
      <c r="F7" s="20">
        <f t="shared" si="0"/>
        <v>6</v>
      </c>
      <c r="G7" s="20">
        <f t="shared" si="0"/>
        <v>1.45</v>
      </c>
      <c r="H7" s="5">
        <f t="shared" si="0"/>
        <v>1.3</v>
      </c>
      <c r="I7" s="5">
        <f t="shared" si="0"/>
        <v>2</v>
      </c>
      <c r="J7" s="5">
        <f t="shared" si="0"/>
        <v>3</v>
      </c>
      <c r="K7" s="5">
        <f t="shared" si="0"/>
        <v>0</v>
      </c>
      <c r="L7" s="5">
        <f t="shared" si="0"/>
        <v>3</v>
      </c>
      <c r="M7" s="5">
        <f t="shared" si="0"/>
        <v>1</v>
      </c>
      <c r="N7" s="5">
        <f t="shared" si="0"/>
        <v>0.5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1</v>
      </c>
      <c r="U7" s="6">
        <f t="shared" si="0"/>
        <v>3.5</v>
      </c>
      <c r="V7" s="6">
        <f t="shared" si="0"/>
        <v>10</v>
      </c>
      <c r="W7" s="6">
        <f t="shared" si="0"/>
        <v>6.5</v>
      </c>
      <c r="X7" s="6">
        <f t="shared" si="0"/>
        <v>2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400.75</v>
      </c>
      <c r="D9" s="26">
        <f>SUM(D10:D46)</f>
        <v>22</v>
      </c>
      <c r="E9" s="26">
        <f t="shared" si="12" ref="E9:Z9">SUM(E10:E46)</f>
        <v>18</v>
      </c>
      <c r="F9" s="26">
        <f t="shared" si="12"/>
        <v>20</v>
      </c>
      <c r="G9" s="26">
        <f t="shared" si="12"/>
        <v>15.449999999999999</v>
      </c>
      <c r="H9" s="26">
        <f t="shared" si="12"/>
        <v>15.300000000000001</v>
      </c>
      <c r="I9" s="26">
        <f t="shared" si="12"/>
        <v>16</v>
      </c>
      <c r="J9" s="26">
        <f t="shared" si="12"/>
        <v>17</v>
      </c>
      <c r="K9" s="26">
        <f t="shared" si="12"/>
        <v>14</v>
      </c>
      <c r="L9" s="26">
        <f t="shared" si="12"/>
        <v>17.5</v>
      </c>
      <c r="M9" s="26">
        <f t="shared" si="12"/>
        <v>15</v>
      </c>
      <c r="N9" s="26">
        <f t="shared" si="12"/>
        <v>28.5</v>
      </c>
      <c r="O9" s="26">
        <f t="shared" si="12"/>
        <v>20</v>
      </c>
      <c r="P9" s="26">
        <f t="shared" si="12"/>
        <v>21</v>
      </c>
      <c r="Q9" s="26">
        <f t="shared" si="12"/>
        <v>21</v>
      </c>
      <c r="R9" s="26">
        <f t="shared" si="12"/>
        <v>20</v>
      </c>
      <c r="S9" s="26">
        <f t="shared" si="12"/>
        <v>0</v>
      </c>
      <c r="T9" s="26">
        <f t="shared" si="12"/>
        <v>1</v>
      </c>
      <c r="U9" s="26">
        <f t="shared" si="12"/>
        <v>17.5</v>
      </c>
      <c r="V9" s="26">
        <f t="shared" si="12"/>
        <v>24</v>
      </c>
      <c r="W9" s="26">
        <f t="shared" si="12"/>
        <v>20.5</v>
      </c>
      <c r="X9" s="26">
        <f t="shared" si="12"/>
        <v>23</v>
      </c>
      <c r="Y9" s="26">
        <f t="shared" si="12"/>
        <v>18</v>
      </c>
      <c r="Z9" s="26">
        <f t="shared" si="12"/>
        <v>16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0.5</v>
      </c>
      <c r="D10" s="16"/>
      <c r="E10" s="10"/>
      <c r="F10" s="10"/>
      <c r="G10" s="10"/>
      <c r="H10" s="10"/>
      <c r="I10" s="10"/>
      <c r="J10" s="10"/>
      <c r="K10" s="10"/>
      <c r="L10" s="10">
        <v>0.50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2.2000000000000002</v>
      </c>
      <c r="D11" s="17">
        <v>1.20</v>
      </c>
      <c r="E11" s="12"/>
      <c r="F11" s="12" t="s">
        <v>26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7.2999999999999998</v>
      </c>
      <c r="D17" s="17">
        <v>3.30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5</v>
      </c>
      <c r="D18" s="17">
        <v>3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1.45</v>
      </c>
      <c r="D22" s="17"/>
      <c r="E22" s="12"/>
      <c r="F22" s="12"/>
      <c r="G22" s="12">
        <v>0.45</v>
      </c>
      <c r="H22" s="12"/>
      <c r="I22" s="12"/>
      <c r="J22" s="12"/>
      <c r="K22" s="12"/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25</v>
      </c>
      <c r="C23" s="25">
        <f t="shared" si="14"/>
        <v>6.2999999999999998</v>
      </c>
      <c r="D23" s="17"/>
      <c r="E23" s="12"/>
      <c r="F23" s="12"/>
      <c r="G23" s="12"/>
      <c r="H23" s="12">
        <v>1.30</v>
      </c>
      <c r="I23" s="12">
        <v>2</v>
      </c>
      <c r="J23" s="12">
        <v>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27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28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 t="s">
        <v>29</v>
      </c>
      <c r="C26" s="25">
        <f t="shared" si="14"/>
        <v>2.5</v>
      </c>
      <c r="D26" s="17"/>
      <c r="E26" s="12"/>
      <c r="F26" s="12"/>
      <c r="G26" s="12"/>
      <c r="H26" s="12"/>
      <c r="I26" s="12"/>
      <c r="J26" s="12"/>
      <c r="K26" s="12"/>
      <c r="L26" s="12">
        <v>2</v>
      </c>
      <c r="M26" s="12">
        <v>0.50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customHeight="1" thickBot="1">
      <c r="B27" s="29" t="s">
        <v>30</v>
      </c>
      <c r="C27" s="36">
        <f t="shared" si="14"/>
        <v>0.5</v>
      </c>
      <c r="D27" s="31"/>
      <c r="E27" s="32"/>
      <c r="F27" s="32"/>
      <c r="G27" s="32"/>
      <c r="H27" s="32"/>
      <c r="I27" s="32"/>
      <c r="J27" s="32"/>
      <c r="K27" s="32"/>
      <c r="L27" s="32"/>
      <c r="M27" s="37">
        <v>0.50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4"/>
      <c r="AA27" s="35"/>
      <c r="AB27" s="35"/>
      <c r="AC27" s="35"/>
      <c r="AD27" s="35"/>
      <c r="AE27" s="35"/>
      <c r="AF27" s="35"/>
      <c r="AG27" s="35"/>
      <c r="AH27" s="35"/>
    </row>
    <row r="28" spans="2:34" ht="15" customHeight="1" thickBot="1">
      <c r="B28" s="29" t="s">
        <v>31</v>
      </c>
      <c r="C28" s="36">
        <f t="shared" si="14"/>
        <v>3.5</v>
      </c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7">
        <v>0.50</v>
      </c>
      <c r="O28" s="32"/>
      <c r="P28" s="32"/>
      <c r="Q28" s="32"/>
      <c r="R28" s="32"/>
      <c r="S28" s="32"/>
      <c r="T28" s="32"/>
      <c r="U28" s="32"/>
      <c r="V28" s="38">
        <v>3</v>
      </c>
      <c r="W28" s="32"/>
      <c r="X28" s="32"/>
      <c r="Y28" s="32"/>
      <c r="Z28" s="34"/>
      <c r="AA28" s="35"/>
      <c r="AB28" s="35"/>
      <c r="AC28" s="35"/>
      <c r="AD28" s="35"/>
      <c r="AE28" s="35"/>
      <c r="AF28" s="35"/>
      <c r="AG28" s="35"/>
      <c r="AH28" s="35"/>
    </row>
    <row r="29" spans="2:34" ht="15" customHeight="1" thickBot="1">
      <c r="B29" s="29" t="s">
        <v>32</v>
      </c>
      <c r="C29" s="36">
        <f t="shared" si="14"/>
        <v>3.5</v>
      </c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9">
        <v>2</v>
      </c>
      <c r="V29" s="40">
        <v>1.50</v>
      </c>
      <c r="W29" s="32"/>
      <c r="X29" s="32"/>
      <c r="Y29" s="32"/>
      <c r="Z29" s="34"/>
      <c r="AA29" s="35"/>
      <c r="AB29" s="35"/>
      <c r="AC29" s="35"/>
      <c r="AD29" s="35"/>
      <c r="AE29" s="35"/>
      <c r="AF29" s="35"/>
      <c r="AG29" s="35"/>
      <c r="AH29" s="35"/>
    </row>
    <row r="30" spans="2:34" ht="15" customHeight="1" thickBot="1">
      <c r="B30" s="29" t="s">
        <v>33</v>
      </c>
      <c r="C30" s="36">
        <f t="shared" si="14"/>
        <v>1.5</v>
      </c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8">
        <v>1.50</v>
      </c>
      <c r="W30" s="32"/>
      <c r="X30" s="32"/>
      <c r="Y30" s="32"/>
      <c r="Z30" s="34"/>
      <c r="AA30" s="35"/>
      <c r="AB30" s="35"/>
      <c r="AC30" s="35"/>
      <c r="AD30" s="35"/>
      <c r="AE30" s="35"/>
      <c r="AF30" s="35"/>
      <c r="AG30" s="35"/>
      <c r="AH30" s="35"/>
    </row>
    <row r="31" spans="2:34" ht="15" customHeight="1" thickBot="1">
      <c r="B31" s="29" t="s">
        <v>34</v>
      </c>
      <c r="C31" s="36">
        <f t="shared" si="14"/>
        <v>2</v>
      </c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>
        <v>2</v>
      </c>
      <c r="Y31" s="32"/>
      <c r="Z31" s="34"/>
      <c r="AA31" s="35"/>
      <c r="AB31" s="35"/>
      <c r="AC31" s="35"/>
      <c r="AD31" s="35"/>
      <c r="AE31" s="35"/>
      <c r="AF31" s="35"/>
      <c r="AG31" s="35"/>
      <c r="AH31" s="35"/>
    </row>
    <row r="32" spans="2:34" ht="15" customHeight="1" thickBot="1">
      <c r="B32" s="29" t="s">
        <v>35</v>
      </c>
      <c r="C32" s="36">
        <f t="shared" si="14"/>
        <v>3</v>
      </c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41">
        <v>1</v>
      </c>
      <c r="V32" s="38">
        <v>2</v>
      </c>
      <c r="W32" s="32"/>
      <c r="X32" s="32"/>
      <c r="Y32" s="32"/>
      <c r="Z32" s="34"/>
      <c r="AA32" s="35"/>
      <c r="AB32" s="35"/>
      <c r="AC32" s="35"/>
      <c r="AD32" s="35"/>
      <c r="AE32" s="35"/>
      <c r="AF32" s="35"/>
      <c r="AG32" s="35"/>
      <c r="AH32" s="35"/>
    </row>
    <row r="33" spans="2:34" ht="15" customHeight="1" thickBot="1">
      <c r="B33" s="29" t="s">
        <v>36</v>
      </c>
      <c r="C33" s="36">
        <f t="shared" si="14"/>
        <v>3.5</v>
      </c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8">
        <v>2</v>
      </c>
      <c r="W33" s="32">
        <v>1.50</v>
      </c>
      <c r="X33" s="32"/>
      <c r="Y33" s="32"/>
      <c r="Z33" s="34"/>
      <c r="AA33" s="35"/>
      <c r="AB33" s="35"/>
      <c r="AC33" s="35"/>
      <c r="AD33" s="35"/>
      <c r="AE33" s="35"/>
      <c r="AF33" s="35"/>
      <c r="AG33" s="35"/>
      <c r="AH33" s="35"/>
    </row>
    <row r="34" spans="2:34" ht="15" customHeight="1" thickBot="1">
      <c r="B34" s="29" t="s">
        <v>37</v>
      </c>
      <c r="C34" s="36">
        <f t="shared" si="14"/>
        <v>4</v>
      </c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>
        <v>4</v>
      </c>
      <c r="X34" s="32"/>
      <c r="Y34" s="32"/>
      <c r="Z34" s="34"/>
      <c r="AA34" s="35"/>
      <c r="AB34" s="35"/>
      <c r="AC34" s="35"/>
      <c r="AD34" s="35"/>
      <c r="AE34" s="35"/>
      <c r="AF34" s="35"/>
      <c r="AG34" s="35"/>
      <c r="AH34" s="35"/>
    </row>
    <row r="35" spans="2:34" ht="15" customHeight="1" thickBot="1">
      <c r="B35" s="42" t="s">
        <v>38</v>
      </c>
      <c r="C35" s="36">
        <f t="shared" si="14"/>
        <v>1</v>
      </c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>
        <v>1</v>
      </c>
      <c r="X35" s="32"/>
      <c r="Y35" s="32"/>
      <c r="Z35" s="34"/>
      <c r="AA35" s="35"/>
      <c r="AB35" s="35"/>
      <c r="AC35" s="35"/>
      <c r="AD35" s="35"/>
      <c r="AE35" s="35"/>
      <c r="AF35" s="35"/>
      <c r="AG35" s="35"/>
      <c r="AH35" s="35"/>
    </row>
    <row r="36" spans="2:34" ht="15" customHeight="1" thickBot="1">
      <c r="B36" s="43" t="s">
        <v>39</v>
      </c>
      <c r="C36" s="36">
        <f t="shared" si="14"/>
        <v>0.5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8">
        <v>0.50</v>
      </c>
      <c r="V36" s="32"/>
      <c r="W36" s="32"/>
      <c r="X36" s="32"/>
      <c r="Y36" s="32"/>
      <c r="Z36" s="34"/>
      <c r="AA36" s="35"/>
      <c r="AB36" s="35"/>
      <c r="AC36" s="35"/>
      <c r="AD36" s="35"/>
      <c r="AE36" s="35"/>
      <c r="AF36" s="35"/>
      <c r="AG36" s="35"/>
      <c r="AH36" s="35"/>
    </row>
    <row r="37" spans="2:34" ht="15" customHeight="1" thickBot="1">
      <c r="B37" s="29" t="s">
        <v>40</v>
      </c>
      <c r="C37" s="36">
        <f t="shared" si="14"/>
        <v>0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4"/>
      <c r="AA37" s="35"/>
      <c r="AB37" s="35"/>
      <c r="AC37" s="35"/>
      <c r="AD37" s="35"/>
      <c r="AE37" s="35"/>
      <c r="AF37" s="35"/>
      <c r="AG37" s="35"/>
      <c r="AH37" s="35"/>
    </row>
    <row r="38" spans="2:34" ht="15" customHeight="1" thickBot="1">
      <c r="B38" s="29" t="s">
        <v>41</v>
      </c>
      <c r="C38" s="36">
        <f t="shared" si="14"/>
        <v>0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4"/>
      <c r="AA38" s="35"/>
      <c r="AB38" s="35"/>
      <c r="AC38" s="35"/>
      <c r="AD38" s="35"/>
      <c r="AE38" s="35"/>
      <c r="AF38" s="35"/>
      <c r="AG38" s="35"/>
      <c r="AH38" s="35"/>
    </row>
    <row r="39" spans="2:34" ht="15" customHeight="1" thickBot="1">
      <c r="B39" s="29" t="s">
        <v>42</v>
      </c>
      <c r="C39" s="36">
        <f t="shared" si="14"/>
        <v>4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>
        <v>4</v>
      </c>
      <c r="Y39" s="32"/>
      <c r="Z39" s="34"/>
      <c r="AA39" s="35"/>
      <c r="AB39" s="35"/>
      <c r="AC39" s="35"/>
      <c r="AD39" s="35"/>
      <c r="AE39" s="35"/>
      <c r="AF39" s="35"/>
      <c r="AG39" s="35"/>
      <c r="AH39" s="35"/>
    </row>
    <row r="40" spans="2:34" ht="15" customHeight="1" thickBot="1">
      <c r="B40" s="29" t="s">
        <v>43</v>
      </c>
      <c r="C40" s="36">
        <f t="shared" si="14"/>
        <v>2</v>
      </c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>
        <v>2</v>
      </c>
      <c r="Y40" s="32"/>
      <c r="Z40" s="34"/>
      <c r="AA40" s="35"/>
      <c r="AB40" s="35"/>
      <c r="AC40" s="35"/>
      <c r="AD40" s="35"/>
      <c r="AE40" s="35"/>
      <c r="AF40" s="35"/>
      <c r="AG40" s="35"/>
      <c r="AH40" s="35"/>
    </row>
    <row r="41" spans="2:34" ht="15" customHeight="1" thickBot="1">
      <c r="B41" s="29" t="s">
        <v>44</v>
      </c>
      <c r="C41" s="36">
        <f t="shared" si="14"/>
        <v>12</v>
      </c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>
        <v>5</v>
      </c>
      <c r="Y41" s="32">
        <v>4</v>
      </c>
      <c r="Z41" s="34">
        <v>3</v>
      </c>
      <c r="AA41" s="35"/>
      <c r="AB41" s="35"/>
      <c r="AC41" s="35"/>
      <c r="AD41" s="35"/>
      <c r="AE41" s="35"/>
      <c r="AF41" s="35"/>
      <c r="AG41" s="35"/>
      <c r="AH41" s="35"/>
    </row>
    <row r="42" spans="2:34" ht="15" customHeight="1" thickBot="1">
      <c r="B42" s="29" t="s">
        <v>45</v>
      </c>
      <c r="C42" s="36">
        <f t="shared" si="14"/>
        <v>3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4">
        <v>3</v>
      </c>
      <c r="AA42" s="35"/>
      <c r="AB42" s="35"/>
      <c r="AC42" s="35"/>
      <c r="AD42" s="35"/>
      <c r="AE42" s="35"/>
      <c r="AF42" s="35"/>
      <c r="AG42" s="35"/>
      <c r="AH42" s="35"/>
    </row>
    <row r="43" spans="2:34" ht="15" customHeight="1" thickBot="1">
      <c r="B43" s="29" t="s">
        <v>46</v>
      </c>
      <c r="C43" s="36">
        <f t="shared" si="14"/>
        <v>326</v>
      </c>
      <c r="D43" s="31">
        <v>14</v>
      </c>
      <c r="E43" s="32">
        <v>14</v>
      </c>
      <c r="F43" s="32">
        <v>14</v>
      </c>
      <c r="G43" s="32">
        <v>14</v>
      </c>
      <c r="H43" s="32">
        <v>14</v>
      </c>
      <c r="I43" s="32">
        <v>14</v>
      </c>
      <c r="J43" s="32">
        <v>14</v>
      </c>
      <c r="K43" s="32">
        <v>14</v>
      </c>
      <c r="L43" s="32">
        <v>14</v>
      </c>
      <c r="M43" s="32">
        <v>14</v>
      </c>
      <c r="N43" s="32">
        <v>28</v>
      </c>
      <c r="O43" s="32">
        <v>20</v>
      </c>
      <c r="P43" s="32">
        <v>21</v>
      </c>
      <c r="Q43" s="32">
        <v>21</v>
      </c>
      <c r="R43" s="32">
        <v>20</v>
      </c>
      <c r="S43" s="32">
        <v>0</v>
      </c>
      <c r="T43" s="32">
        <v>0</v>
      </c>
      <c r="U43" s="32">
        <v>14</v>
      </c>
      <c r="V43" s="32">
        <v>14</v>
      </c>
      <c r="W43" s="32">
        <v>14</v>
      </c>
      <c r="X43" s="32">
        <v>10</v>
      </c>
      <c r="Y43" s="32">
        <v>14</v>
      </c>
      <c r="Z43" s="34">
        <v>10</v>
      </c>
      <c r="AA43" s="35"/>
      <c r="AB43" s="35"/>
      <c r="AC43" s="35"/>
      <c r="AD43" s="35"/>
      <c r="AE43" s="35"/>
      <c r="AF43" s="35"/>
      <c r="AG43" s="35"/>
      <c r="AH43" s="35"/>
    </row>
    <row r="44" spans="2:34" ht="15" customHeight="1" thickBot="1">
      <c r="B44" s="29"/>
      <c r="C44" s="36">
        <f t="shared" si="14"/>
        <v>0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4"/>
      <c r="AA44" s="35"/>
      <c r="AB44" s="35"/>
      <c r="AC44" s="35"/>
      <c r="AD44" s="35"/>
      <c r="AE44" s="35"/>
      <c r="AF44" s="35"/>
      <c r="AG44" s="35"/>
      <c r="AH44" s="35"/>
    </row>
    <row r="45" spans="2:34" ht="15" customHeight="1" thickBot="1">
      <c r="B45" s="29"/>
      <c r="C45" s="36">
        <f t="shared" si="14"/>
        <v>0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4"/>
      <c r="AA45" s="35"/>
      <c r="AB45" s="35"/>
      <c r="AC45" s="35"/>
      <c r="AD45" s="35"/>
      <c r="AE45" s="35"/>
      <c r="AF45" s="35"/>
      <c r="AG45" s="35"/>
      <c r="AH45" s="35"/>
    </row>
    <row r="46" spans="2:34" ht="15" customHeight="1" thickBot="1">
      <c r="B46" s="42"/>
      <c r="C46" s="44">
        <f t="shared" si="14"/>
        <v>0</v>
      </c>
      <c r="D46" s="45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7"/>
      <c r="AA46" s="48"/>
      <c r="AB46" s="48"/>
      <c r="AC46" s="48"/>
      <c r="AD46" s="48"/>
      <c r="AE46" s="48"/>
      <c r="AF46" s="48"/>
      <c r="AG46" s="48"/>
      <c r="AH46" s="48"/>
    </row>
  </sheetData>
  <mergeCells count="4">
    <mergeCell ref="C2:G2"/>
    <mergeCell ref="C3:G3"/>
    <mergeCell ref="C4:G4"/>
    <mergeCell ref="C5:G5"/>
  </mergeCells>
  <conditionalFormatting sqref="C10">
    <cfRule type="dataBar" priority="789" dxfId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{1b51f0af-adca-4483-b66b-c7e927fa11fc}</x14:id>
        </ext>
      </extLst>
    </cfRule>
  </conditionalFormatting>
  <conditionalFormatting sqref="C10:C46">
    <cfRule type="dataBar" priority="788" dxfId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{230e8bfe-9a16-4823-b63b-99a8006cd2cd}</x14:id>
        </ext>
      </extLst>
    </cfRule>
  </conditionalFormatting>
  <conditionalFormatting sqref="C11:C46">
    <cfRule type="dataBar" priority="787" dxfId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{841843bc-f594-4c1d-b819-bf0083da7544}</x14:id>
        </ext>
      </extLst>
    </cfRule>
  </conditionalFormatting>
  <conditionalFormatting sqref="D11:P18 D19:H20 J19:P20 D21:P29">
    <cfRule type="colorScale" priority="786" dxfId="165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785" dxfId="165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784" dxfId="165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783" dxfId="165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782" dxfId="165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781" dxfId="165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780" dxfId="165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779" dxfId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{cb7b0249-625f-4d57-a346-0a1b70f024e0}</x14:id>
        </ext>
      </extLst>
    </cfRule>
  </conditionalFormatting>
  <conditionalFormatting sqref="D10:AH46">
    <cfRule type="colorScale" priority="778" dxfId="165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777" dxfId="165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776" dxfId="165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775" dxfId="165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774" dxfId="165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773" dxfId="165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772" dxfId="165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771" dxfId="165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770" dxfId="165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769" dxfId="165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768" dxfId="165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767" dxfId="165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766" dxfId="165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765" dxfId="165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764" dxfId="165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763" dxfId="165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762" dxfId="165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761" dxfId="165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760" dxfId="165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759" dxfId="165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758" dxfId="165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757" dxfId="165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756" dxfId="165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755" dxfId="165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754" dxfId="165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753" dxfId="165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752" dxfId="165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751" dxfId="165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750" dxfId="165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749" dxfId="165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748" dxfId="165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747" dxfId="165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746" dxfId="165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745" dxfId="165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744" dxfId="165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743" dxfId="165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742" dxfId="165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741" dxfId="165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740" dxfId="165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739" dxfId="165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738" dxfId="165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737" dxfId="165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736" dxfId="165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735" dxfId="165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734" dxfId="165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733" dxfId="165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732" dxfId="165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731" dxfId="165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730" dxfId="165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729" dxfId="165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728" dxfId="165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727" dxfId="165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726" dxfId="165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725" dxfId="165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724" dxfId="165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723" dxfId="165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722" dxfId="165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721" dxfId="165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720" dxfId="165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719" dxfId="165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1f0af-adca-4483-b66b-c7e927fa11fc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230e8bfe-9a16-4823-b63b-99a8006cd2cd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841843bc-f594-4c1d-b819-bf0083da7544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cb7b0249-625f-4d57-a346-0a1b70f024e0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