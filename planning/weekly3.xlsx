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<sst xmlns="http://schemas.openxmlformats.org/spreadsheetml/2006/main" count="30" uniqueCount="30">
  <si>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</si>
  <si>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</si>
  <si>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</si>
  <si>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</si>
  <si>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</si>
  <si>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</si>
  <si>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</si>
  <si>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</si>
  <si>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</si>
  <si>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</si>
  <si>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</si>
  <si>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</si>
  <si>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</si>
  <si>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</si>
  <si>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</si>
  <si>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</si>
  <si>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</si>
  <si>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</si>
  <si>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</si>
  <si>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</si>
  <si>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</si>
  <si>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</si>
  <si>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</si>
  <si>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</si>
  <si>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</si>
  <si>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0,45</t>
  </si>
  <si>
    <t>jup notebook x svm scratch, sub 15nov</t>
  </si>
  <si>
    <t>0,30</t>
  </si>
  <si>
    <t>Maitriser les bases d'une sup method au choix</t>
  </si>
  <si>
    <t>jup notebook lin regression avant le 28/11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</si>
</sst>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74998831749"/>
        <bgColor indexed="64"/>
      </patternFill>
    </fill>
    <fill>
      <patternFill patternType="solid">
        <fgColor theme="0" tint="-0.149770006537437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36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9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A17" sqref="A17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4</v>
      </c>
      <c r="E7" s="20">
        <f t="shared" si="0" ref="E7:Z7">SUM(E11:E36)</f>
        <v>4</v>
      </c>
      <c r="F7" s="20">
        <f t="shared" si="0"/>
        <v>6</v>
      </c>
      <c r="G7" s="20">
        <f t="shared" si="0"/>
        <v>1</v>
      </c>
      <c r="H7" s="5">
        <f t="shared" si="0"/>
        <v>1.3</v>
      </c>
      <c r="I7" s="5">
        <f t="shared" si="0"/>
        <v>2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18.300000000000001</v>
      </c>
      <c r="D9" s="26">
        <f>SUM(D10:D46)</f>
        <v>4</v>
      </c>
      <c r="E9" s="26">
        <f t="shared" si="12" ref="E9:Z9">SUM(E10:E46)</f>
        <v>4</v>
      </c>
      <c r="F9" s="26">
        <f t="shared" si="12"/>
        <v>6</v>
      </c>
      <c r="G9" s="26">
        <f t="shared" si="12"/>
        <v>1</v>
      </c>
      <c r="H9" s="26">
        <f t="shared" si="12"/>
        <v>1.3</v>
      </c>
      <c r="I9" s="26">
        <f t="shared" si="12"/>
        <v>2</v>
      </c>
      <c r="J9" s="26">
        <f t="shared" si="12"/>
        <v>0</v>
      </c>
      <c r="K9" s="26">
        <f t="shared" si="12"/>
        <v>0</v>
      </c>
      <c r="L9" s="26">
        <f t="shared" si="12"/>
        <v>0</v>
      </c>
      <c r="M9" s="26">
        <f t="shared" si="12"/>
        <v>0</v>
      </c>
      <c r="N9" s="26">
        <f t="shared" si="12"/>
        <v>0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0</v>
      </c>
      <c r="U9" s="26">
        <f t="shared" si="12"/>
        <v>0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</v>
      </c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1.2</v>
      </c>
      <c r="D11" s="17">
        <v>1.20</v>
      </c>
      <c r="E11" s="12"/>
      <c r="F11" s="12" t="s">
        <v>27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5.2999999999999998</v>
      </c>
      <c r="D17" s="17">
        <v>1.30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3</v>
      </c>
      <c r="D18" s="17">
        <v>1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0</v>
      </c>
      <c r="D22" s="17"/>
      <c r="E22" s="12"/>
      <c r="F22" s="12"/>
      <c r="G22" s="12" t="s">
        <v>25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26</v>
      </c>
      <c r="C23" s="25">
        <f t="shared" si="14"/>
        <v>3.2999999999999998</v>
      </c>
      <c r="D23" s="17"/>
      <c r="E23" s="12"/>
      <c r="F23" s="12"/>
      <c r="G23" s="12"/>
      <c r="H23" s="12">
        <v>1.30</v>
      </c>
      <c r="I23" s="12">
        <v>2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28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 t="s">
        <v>29</v>
      </c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/>
      <c r="C26" s="25">
        <f t="shared" si="14"/>
        <v>0</v>
      </c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/>
      <c r="C27" s="25">
        <f t="shared" si="14"/>
        <v>0</v>
      </c>
      <c r="D27" s="17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/>
      <c r="C28" s="25">
        <f t="shared" si="14"/>
        <v>0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thickBot="1">
      <c r="B29" s="7"/>
      <c r="C29" s="25">
        <f t="shared" si="14"/>
        <v>0</v>
      </c>
      <c r="D29" s="1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ht="15" thickBot="1">
      <c r="B30" s="7"/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/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thickBot="1">
      <c r="B32" s="7"/>
      <c r="C32" s="25">
        <f t="shared" si="14"/>
        <v>0</v>
      </c>
      <c r="D32" s="1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ht="15" thickBot="1">
      <c r="B33" s="7"/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/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/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/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/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/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/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/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/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/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/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/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/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/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292" dxfId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{9f980175-6892-43ce-83e1-d72e1787a8b9}</x14:id>
        </ext>
      </extLst>
    </cfRule>
  </conditionalFormatting>
  <conditionalFormatting sqref="C10:C46">
    <cfRule type="dataBar" priority="291" dxfId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{4f86432d-e773-4a63-9167-19df18f9ab99}</x14:id>
        </ext>
      </extLst>
    </cfRule>
  </conditionalFormatting>
  <conditionalFormatting sqref="C11:C46">
    <cfRule type="dataBar" priority="290" dxfId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{108b2f2d-0de3-4e3d-9e52-bc1a16be5a41}</x14:id>
        </ext>
      </extLst>
    </cfRule>
  </conditionalFormatting>
  <conditionalFormatting sqref="D11:P18 D19:H20 J19:P20 D21:P29">
    <cfRule type="colorScale" priority="289" dxfId="8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288" dxfId="8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287" dxfId="8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286" dxfId="8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285" dxfId="8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284" dxfId="8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283" dxfId="8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282" dxfId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{2ba8b6db-764f-4c92-afd4-647ca03f4204}</x14:id>
        </ext>
      </extLst>
    </cfRule>
  </conditionalFormatting>
  <conditionalFormatting sqref="D10:AH46">
    <cfRule type="colorScale" priority="281" dxfId="8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280" dxfId="8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279" dxfId="8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278" dxfId="8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277" dxfId="8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276" dxfId="8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275" dxfId="8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274" dxfId="8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273" dxfId="8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272" dxfId="8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271" dxfId="8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270" dxfId="8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269" dxfId="8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268" dxfId="8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267" dxfId="8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266" dxfId="8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265" dxfId="8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264" dxfId="8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263" dxfId="8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262" dxfId="8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261" dxfId="8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260" dxfId="8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259" dxfId="8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258" dxfId="8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257" dxfId="8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256" dxfId="8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255" dxfId="8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254" dxfId="8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253" dxfId="8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252" dxfId="8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251" dxfId="8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250" dxfId="8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249" dxfId="8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248" dxfId="8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247" dxfId="8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246" dxfId="8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245" dxfId="8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244" dxfId="8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243" dxfId="8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242" dxfId="8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241" dxfId="8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240" dxfId="8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239" dxfId="8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238" dxfId="8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237" dxfId="8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236" dxfId="8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235" dxfId="8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234" dxfId="8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233" dxfId="8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232" dxfId="8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231" dxfId="8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230" dxfId="8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229" dxfId="8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228" dxfId="8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227" dxfId="8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226" dxfId="8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225" dxfId="8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224" dxfId="8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223" dxfId="8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222" dxfId="8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980175-6892-43ce-83e1-d72e1787a8b9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4f86432d-e773-4a63-9167-19df18f9ab99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108b2f2d-0de3-4e3d-9e52-bc1a16be5a41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2ba8b6db-764f-4c92-afd4-647ca03f4204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